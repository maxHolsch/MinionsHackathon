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opping List" sheetId="1" state="visible" r:id="rId1"/>
    <sheet xmlns:r="http://schemas.openxmlformats.org/officeDocument/2006/relationships" name="Per-Unit 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36E72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984E3"/>
      <sz val="9"/>
      <u val="single"/>
    </font>
    <font>
      <name val="Arial"/>
      <charset val="1"/>
      <family val="0"/>
      <b val="1"/>
      <sz val="11"/>
    </font>
    <font>
      <name val="Arial"/>
      <charset val="1"/>
      <family val="0"/>
      <b val="1"/>
      <color rgb="FF636E72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olor rgb="000984E3"/>
      <sz val="9"/>
      <u val="single"/>
    </font>
  </fonts>
  <fills count="5">
    <fill>
      <patternFill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636E72"/>
        <bgColor rgb="FF808080"/>
      </patternFill>
    </fill>
    <fill>
      <patternFill patternType="solid">
        <fgColor rgb="FFDFE6E9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FE6E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right" vertical="bottom"/>
    </xf>
    <xf numFmtId="164" fontId="1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right" vertical="bottom"/>
    </xf>
    <xf numFmtId="164" fontId="1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9"/>
      <rgbColor rgb="FF660066"/>
      <rgbColor rgb="FFFF8080"/>
      <rgbColor rgb="FF0984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icrocenter.com/product/632692/inland-esp32-cam-wifi-bluetooth-camera-modules-pair" TargetMode="External" Id="rId1"/><Relationship Type="http://schemas.openxmlformats.org/officeDocument/2006/relationships/hyperlink" Target="https://www.amazon.com/FREENOVE-ESP32-S3-WROOM-Compatible-Wireless-Detailed/dp/B0BMQ8F7FN" TargetMode="External" Id="rId2"/><Relationship Type="http://schemas.openxmlformats.org/officeDocument/2006/relationships/hyperlink" Target="https://www.amazon.com/Ruitutedianzi-OV5640-ESP32-CAM-Million-Definition/dp/B0DP6QWM55" TargetMode="External" Id="rId3"/><Relationship Type="http://schemas.openxmlformats.org/officeDocument/2006/relationships/hyperlink" Target="https://www.microcenter.com/product/696432/adafruit-industries-i2s-mems-microphone-breakout-ics-43434" TargetMode="External" Id="rId4"/><Relationship Type="http://schemas.openxmlformats.org/officeDocument/2006/relationships/hyperlink" Target="https://www.adafruit.com/product/6049" TargetMode="External" Id="rId5"/><Relationship Type="http://schemas.openxmlformats.org/officeDocument/2006/relationships/hyperlink" Target="https://www.amazon.com/AITRIP-Omnidirectional-Microphone-Interface-Precision/dp/B09B9W4445" TargetMode="External" Id="rId6"/><Relationship Type="http://schemas.openxmlformats.org/officeDocument/2006/relationships/hyperlink" Target="https://www.microcenter.com/product/634437/adafruit-industries-i2s-3w-class-d-amplifier-breakout-max98357a" TargetMode="External" Id="rId7"/><Relationship Type="http://schemas.openxmlformats.org/officeDocument/2006/relationships/hyperlink" Target="https://www.amazon.com/AITRIP-MAX98357-Amplifier-Amplifiers-Filterless/dp/B096ZM9LL5" TargetMode="External" Id="rId8"/><Relationship Type="http://schemas.openxmlformats.org/officeDocument/2006/relationships/hyperlink" Target="https://www.amazon.com/Dweii-Speaker-Loundspeaker-Electronic-Advertising/dp/B0BG2LTK6N" TargetMode="External" Id="rId9"/><Relationship Type="http://schemas.openxmlformats.org/officeDocument/2006/relationships/hyperlink" Target="https://www.amazon.com/Solenoid-Electric-Control-Assembly-Cabinet/dp/B073DXLRYX" TargetMode="External" Id="rId10"/><Relationship Type="http://schemas.openxmlformats.org/officeDocument/2006/relationships/hyperlink" Target="https://www.amazon.com/BOJACK-IRLZ44N-MOSFET-Transistors-IRLZ44NPBF/dp/B09TMP4TLM" TargetMode="External" Id="rId11"/><Relationship Type="http://schemas.openxmlformats.org/officeDocument/2006/relationships/hyperlink" Target="https://www.amazon.com/MCIGICM-Rectifier-Electronic-Silicon-DO-41/dp/B071YWNBKP" TargetMode="External" Id="rId12"/><Relationship Type="http://schemas.openxmlformats.org/officeDocument/2006/relationships/hyperlink" Target="https://www.microcenter.com/product/623852/inland-ws8218b-individually-addressable-led-strip-1-meter-60-led-per-meter" TargetMode="External" Id="rId13"/><Relationship Type="http://schemas.openxmlformats.org/officeDocument/2006/relationships/hyperlink" Target="https://www.amazon.com/BTF-LIGHTING-Flexible-Individually-Addressable-Non-waterproof/dp/B01CDTE2CS" TargetMode="External" Id="rId14"/><Relationship Type="http://schemas.openxmlformats.org/officeDocument/2006/relationships/hyperlink" Target="https://www.microcenter.com/product/632687/inland-5mm-5-colors-led-light-emitting-diode-assortment-kit-500-pcs" TargetMode="External" Id="rId15"/><Relationship Type="http://schemas.openxmlformats.org/officeDocument/2006/relationships/hyperlink" Target="https://www.amazon.com/DiCUNO-450pcs-Colors-Emitting-Assorted/dp/B073QMQBMC" TargetMode="External" Id="rId16"/><Relationship Type="http://schemas.openxmlformats.org/officeDocument/2006/relationships/hyperlink" Target="https://www.microcenter.com/product/618776/inland-pir-motion-sensor-module" TargetMode="External" Id="rId17"/><Relationship Type="http://schemas.openxmlformats.org/officeDocument/2006/relationships/hyperlink" Target="https://www.amazon.com/HiLetgo-HC-SR501-Infrared-Sensor-Arduino/dp/B07KZW86YR" TargetMode="External" Id="rId18"/><Relationship Type="http://schemas.openxmlformats.org/officeDocument/2006/relationships/hyperlink" Target="https://www.amazon.com/Charger-INIU-Adapter-Samsung-iPhone/dp/B0C4FYBR5P" TargetMode="External" Id="rId19"/><Relationship Type="http://schemas.openxmlformats.org/officeDocument/2006/relationships/hyperlink" Target="https://www.amazon.com/Converter-Adjustable-Step-up-Regulator-Compatible/dp/B089JGXKDC" TargetMode="External" Id="rId20"/><Relationship Type="http://schemas.openxmlformats.org/officeDocument/2006/relationships/hyperlink" Target="https://www.amazon.com/electrolytic-capacitors-assortment-0-1uF-1000uF/dp/B07ZPSQ5RS" TargetMode="External" Id="rId21"/><Relationship Type="http://schemas.openxmlformats.org/officeDocument/2006/relationships/hyperlink" Target="https://www.amazon.com/Voltaic-Systems-Small-Solar-Panel/dp/B09QYD4GGJ" TargetMode="External" Id="rId22"/><Relationship Type="http://schemas.openxmlformats.org/officeDocument/2006/relationships/hyperlink" Target="https://www.amazon.com/s?k=CN3791+solar+charge+controller" TargetMode="External" Id="rId23"/><Relationship Type="http://schemas.openxmlformats.org/officeDocument/2006/relationships/hyperlink" Target="https://www.amazon.com/s?k=3.7v+5000mah+lipo+battery" TargetMode="External" Id="rId24"/><Relationship Type="http://schemas.openxmlformats.org/officeDocument/2006/relationships/hyperlink" Target="https://www.microcenter.com/product/613878/inland-400-tie-point-solderless-breadboard" TargetMode="External" Id="rId25"/><Relationship Type="http://schemas.openxmlformats.org/officeDocument/2006/relationships/hyperlink" Target="https://www.amazon.com/EL-CP-003-Breadboard-Solderless-Distribution-Connecting/dp/B01EV6LJ7G" TargetMode="External" Id="rId26"/><Relationship Type="http://schemas.openxmlformats.org/officeDocument/2006/relationships/hyperlink" Target="https://www.microcenter.com/product/613879/inland-dupont-jumper-wire-20cm-3-pack" TargetMode="External" Id="rId27"/><Relationship Type="http://schemas.openxmlformats.org/officeDocument/2006/relationships/hyperlink" Target="https://www.amazon.com/ELEGOO-Multicolored-Breadboard-Arduino-Projects/dp/B01EV70C78" TargetMode="External" Id="rId28"/><Relationship Type="http://schemas.openxmlformats.org/officeDocument/2006/relationships/hyperlink" Target="https://www.amazon.com/s?k=JST+PH+2.0+connector+kit" TargetMode="External" Id="rId29"/><Relationship Type="http://schemas.openxmlformats.org/officeDocument/2006/relationships/hyperlink" Target="https://www.microcenter.com/product/613883/inland-10k-ohm-1-4-watt-resistors-100-pack" TargetMode="External" Id="rId30"/><Relationship Type="http://schemas.openxmlformats.org/officeDocument/2006/relationships/hyperlink" Target="https://www.amazon.com/EDGELEC-Resistor-Tolerance-Multiple-Resistance/dp/B07QG1V4BH" TargetMode="External" Id="rId31"/><Relationship Type="http://schemas.openxmlformats.org/officeDocument/2006/relationships/hyperlink" Target="https://www.microcenter.com/product/613882/inland-330-ohm-1-4-watt-resistors-100-pack" TargetMode="External" Id="rId32"/><Relationship Type="http://schemas.openxmlformats.org/officeDocument/2006/relationships/hyperlink" Target="https://www.amazon.com/EDGELEC-Resistor-Tolerance-Multiple-Resistance/dp/B07QJB3LGN" TargetMode="External" Id="rId33"/><Relationship Type="http://schemas.openxmlformats.org/officeDocument/2006/relationships/hyperlink" Target="https://www.amazon.com/s?k=spring+hinge+small+cabinet" TargetMode="External" Id="rId34"/><Relationship Type="http://schemas.openxmlformats.org/officeDocument/2006/relationships/hyperlink" Target="https://www.microcenter.com/search/search_results.aspx?Ntk=all&amp;sortby=match&amp;N=4294824016" TargetMode="External" Id="rId35"/><Relationship Type="http://schemas.openxmlformats.org/officeDocument/2006/relationships/hyperlink" Target="https://www.amazon.com/s?k=PETG+filament+1.75mm" TargetMode="External" Id="rId36"/><Relationship Type="http://schemas.openxmlformats.org/officeDocument/2006/relationships/hyperlink" Target="https://www.microcenter.com/product/623879/inland-bolt-set-330-pieces" TargetMode="External" Id="rId37"/><Relationship Type="http://schemas.openxmlformats.org/officeDocument/2006/relationships/hyperlink" Target="https://www.amazon.com/s?k=M3+standoff+kit+assortment" TargetMode="External" Id="rId38"/><Relationship Type="http://schemas.openxmlformats.org/officeDocument/2006/relationships/hyperlink" Target="https://www.amazon.com/s?k=rubber+gasket+weather+stripping+cabinet" TargetMode="External" Id="rId3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38" customWidth="1" style="27" min="2" max="2"/>
    <col width="12" customWidth="1" style="27" min="3" max="3"/>
    <col width="10" customWidth="1" style="27" min="4" max="4"/>
    <col width="12" customWidth="1" style="27" min="5" max="5"/>
    <col width="50" customWidth="1" style="27" min="6" max="6"/>
    <col width="55" customWidth="1" style="27" min="7" max="8"/>
  </cols>
  <sheetData>
    <row r="1" ht="30" customHeight="1" s="28">
      <c r="A1" s="29" t="inlineStr">
        <is>
          <t>Stewart / Community Sharing Station — Hardware Shopping List</t>
        </is>
      </c>
    </row>
    <row r="2" ht="15" customHeight="1" s="28">
      <c r="A2" s="30" t="inlineStr">
        <is>
          <t>BOM for 1 unit. Prices are approximate (Amazon/Adafruit, March 2026).</t>
        </is>
      </c>
    </row>
    <row r="4" ht="24" customHeight="1" s="28">
      <c r="A4" s="31" t="inlineStr">
        <is>
          <t>#</t>
        </is>
      </c>
      <c r="B4" s="31" t="inlineStr">
        <is>
          <t>Component</t>
        </is>
      </c>
      <c r="C4" s="31" t="inlineStr">
        <is>
          <t>Est. Price</t>
        </is>
      </c>
      <c r="D4" s="31" t="inlineStr">
        <is>
          <t>Qty</t>
        </is>
      </c>
      <c r="E4" s="32" t="inlineStr">
        <is>
          <t>Subtotal</t>
        </is>
      </c>
      <c r="F4" s="32" t="inlineStr">
        <is>
          <t>Notes / Links</t>
        </is>
      </c>
      <c r="G4" s="33" t="inlineStr">
        <is>
          <t>Micro Center Cambridge</t>
        </is>
      </c>
      <c r="H4" s="33" t="inlineStr">
        <is>
          <t>Amazon / Adafruit Link</t>
        </is>
      </c>
    </row>
    <row r="5" ht="21.75" customHeight="1" s="28">
      <c r="A5" s="34" t="inlineStr">
        <is>
          <t>🧠  BRAIN / MCU</t>
        </is>
      </c>
    </row>
    <row r="6" ht="15" customHeight="1" s="28">
      <c r="A6" s="35" t="n">
        <v>1</v>
      </c>
      <c r="B6" s="36" t="inlineStr">
        <is>
          <t>Freenove ESP32-S3 CAM Board (N16R8, OV2640 included)</t>
        </is>
      </c>
      <c r="C6" s="37" t="n">
        <v>18</v>
      </c>
      <c r="D6" s="35" t="n">
        <v>1</v>
      </c>
      <c r="E6" s="37">
        <f>C6*D6</f>
        <v/>
      </c>
      <c r="F6" s="38" t="inlineStr">
        <is>
          <t>Main board. Comes with OV2640 camera, WiFi, BT5, 8MB PSRAM, 16MB Flash, SD slot. Dual USB-C.</t>
        </is>
      </c>
      <c r="G6" s="39" t="inlineStr">
        <is>
          <t>https://www.microcenter.com/product/632692/inland-esp32-cam-wifi-bluetooth-camera-modules-pair</t>
        </is>
      </c>
      <c r="H6" s="39" t="inlineStr">
        <is>
          <t>https://www.amazon.com/FREENOVE-ESP32-S3-WROOM-Compatible-Wireless-Detailed/dp/B0BMQ8F7FN</t>
        </is>
      </c>
    </row>
    <row r="7" ht="21.75" customHeight="1" s="28">
      <c r="A7" s="34" t="inlineStr">
        <is>
          <t>📷  CAMERAS</t>
        </is>
      </c>
    </row>
    <row r="8" ht="15" customHeight="1" s="28">
      <c r="A8" s="35" t="n">
        <v>2</v>
      </c>
      <c r="B8" s="36" t="inlineStr">
        <is>
          <t>OV2640 camera module (comes with board above)</t>
        </is>
      </c>
      <c r="C8" s="37" t="n">
        <v>0</v>
      </c>
      <c r="D8" s="35" t="n">
        <v>1</v>
      </c>
      <c r="E8" s="37">
        <f>C8*D8</f>
        <v/>
      </c>
      <c r="F8" s="38" t="inlineStr">
        <is>
          <t>Included with ESP32-S3 CAM board. 2MP, fine for basic item ID.</t>
        </is>
      </c>
      <c r="G8" s="30" t="inlineStr">
        <is>
          <t>Included with board</t>
        </is>
      </c>
      <c r="H8" s="30" t="inlineStr">
        <is>
          <t>Included with board</t>
        </is>
      </c>
    </row>
    <row r="9" ht="15" customHeight="1" s="28">
      <c r="A9" s="35" t="n">
        <v>3</v>
      </c>
      <c r="B9" s="36" t="inlineStr">
        <is>
          <t>OV5640 camera module (5MP, autofocus, upgrade)</t>
        </is>
      </c>
      <c r="C9" s="37" t="n">
        <v>10</v>
      </c>
      <c r="D9" s="35" t="n">
        <v>1</v>
      </c>
      <c r="E9" s="37">
        <f>C9*D9</f>
        <v/>
      </c>
      <c r="F9" s="38" t="inlineStr">
        <is>
          <t>24-pin 0.5mm FFC connector. Same interface, drop-in upgrade. Better low-light + autofocus.</t>
        </is>
      </c>
      <c r="G9" s="30" t="inlineStr">
        <is>
          <t>Not at MC</t>
        </is>
      </c>
      <c r="H9" s="39" t="inlineStr">
        <is>
          <t>https://www.amazon.com/Ruitutedianzi-OV5640-ESP32-CAM-Million-Definition/dp/B0DP6QWM55</t>
        </is>
      </c>
    </row>
    <row r="10" ht="21.75" customHeight="1" s="28">
      <c r="A10" s="34" t="inlineStr">
        <is>
          <t>🔊  AUDIO</t>
        </is>
      </c>
    </row>
    <row r="11" ht="15" customHeight="1" s="28">
      <c r="A11" s="35" t="n">
        <v>4</v>
      </c>
      <c r="B11" s="36" t="inlineStr">
        <is>
          <t>ICS-43434 I2S MEMS microphone breakout</t>
        </is>
      </c>
      <c r="C11" s="37" t="n">
        <v>5</v>
      </c>
      <c r="D11" s="35" t="n">
        <v>1</v>
      </c>
      <c r="E11" s="37">
        <f>C11*D11</f>
        <v/>
      </c>
      <c r="F11" s="38" t="inlineStr">
        <is>
          <t>65dB SNR, 24-bit I2S, built-in low-pass filter. Better than INMP441. Adafruit #6049 also good option (~$5).</t>
        </is>
      </c>
      <c r="G11" s="39" t="inlineStr">
        <is>
          <t>https://www.microcenter.com/product/696432/adafruit-industries-i2s-mems-microphone-breakout-ics-43434</t>
        </is>
      </c>
      <c r="H11" s="39" t="inlineStr">
        <is>
          <t>https://www.adafruit.com/product/6049</t>
        </is>
      </c>
    </row>
    <row r="12" ht="15" customHeight="1" s="28">
      <c r="A12" s="35" t="n">
        <v>5</v>
      </c>
      <c r="B12" s="36" t="inlineStr">
        <is>
          <t>INMP441 I2S MEMS microphone (backup/comparison)</t>
        </is>
      </c>
      <c r="C12" s="37" t="n">
        <v>3</v>
      </c>
      <c r="D12" s="35" t="n">
        <v>1</v>
      </c>
      <c r="E12" s="37">
        <f>C12*D12</f>
        <v/>
      </c>
      <c r="F12" s="38" t="inlineStr">
        <is>
          <t>61dB SNR, 24-bit I2S. Cheaper fallback. Good to have for testing.</t>
        </is>
      </c>
      <c r="G12" s="30" t="inlineStr">
        <is>
          <t>Not at MC</t>
        </is>
      </c>
      <c r="H12" s="39" t="inlineStr">
        <is>
          <t>https://www.amazon.com/AITRIP-Omnidirectional-Microphone-Interface-Precision/dp/B09B9W4445</t>
        </is>
      </c>
    </row>
    <row r="13" ht="15" customHeight="1" s="28">
      <c r="A13" s="35" t="n">
        <v>6</v>
      </c>
      <c r="B13" s="36" t="inlineStr">
        <is>
          <t>MAX98357A I2S amplifier breakout</t>
        </is>
      </c>
      <c r="C13" s="37" t="n">
        <v>3.5</v>
      </c>
      <c r="D13" s="35" t="n">
        <v>1</v>
      </c>
      <c r="E13" s="37">
        <f>C13*D13</f>
        <v/>
      </c>
      <c r="F13" s="38" t="inlineStr">
        <is>
          <t>3W Class D amp. I2S input, no DAC needed. Runs on 3.3–5V.</t>
        </is>
      </c>
      <c r="G13" s="39" t="inlineStr">
        <is>
          <t>https://www.microcenter.com/product/634437/adafruit-industries-i2s-3w-class-d-amplifier-breakout-max98357a</t>
        </is>
      </c>
      <c r="H13" s="39" t="inlineStr">
        <is>
          <t>https://www.amazon.com/AITRIP-MAX98357-Amplifier-Amplifiers-Filterless/dp/B096ZM9LL5</t>
        </is>
      </c>
    </row>
    <row r="14" ht="15" customHeight="1" s="28">
      <c r="A14" s="35" t="n">
        <v>7</v>
      </c>
      <c r="B14" s="36" t="inlineStr">
        <is>
          <t>Speaker — 3" 4Ω 3W driver</t>
        </is>
      </c>
      <c r="C14" s="37" t="n">
        <v>3</v>
      </c>
      <c r="D14" s="35" t="n">
        <v>1</v>
      </c>
      <c r="E14" s="37">
        <f>C14*D14</f>
        <v/>
      </c>
      <c r="F14" s="38" t="inlineStr">
        <is>
          <t>Bigger driver = fuller sound. Mount in sealed chamber in enclosure for bass.</t>
        </is>
      </c>
      <c r="G14" s="30" t="inlineStr">
        <is>
          <t>Not at MC</t>
        </is>
      </c>
      <c r="H14" s="39" t="inlineStr">
        <is>
          <t>https://www.amazon.com/Dweii-Speaker-Loundspeaker-Electronic-Advertising/dp/B0BG2LTK6N</t>
        </is>
      </c>
    </row>
    <row r="15" ht="21.75" customHeight="1" s="28">
      <c r="A15" s="34" t="inlineStr">
        <is>
          <t>🔒  LOCK</t>
        </is>
      </c>
    </row>
    <row r="16" ht="15" customHeight="1" s="28">
      <c r="A16" s="35" t="n">
        <v>8</v>
      </c>
      <c r="B16" s="36" t="inlineStr">
        <is>
          <t>12V solenoid cabinet lock (0.6A)</t>
        </is>
      </c>
      <c r="C16" s="37" t="n">
        <v>8</v>
      </c>
      <c r="D16" s="35" t="n">
        <v>1</v>
      </c>
      <c r="E16" s="37">
        <f>C16*D16</f>
        <v/>
      </c>
      <c r="F16" s="38" t="inlineStr">
        <is>
          <t>Spring-return (fail-locked). ~500mA pulse for 1–2 sec. Fits cabinet doors.</t>
        </is>
      </c>
      <c r="G16" s="30" t="inlineStr">
        <is>
          <t>Not at MC</t>
        </is>
      </c>
      <c r="H16" s="39" t="inlineStr">
        <is>
          <t>https://www.amazon.com/Solenoid-Electric-Control-Assembly-Cabinet/dp/B073DXLRYX</t>
        </is>
      </c>
    </row>
    <row r="17" ht="15" customHeight="1" s="28">
      <c r="A17" s="35" t="n">
        <v>9</v>
      </c>
      <c r="B17" s="36" t="inlineStr">
        <is>
          <t>IRLZ44N logic-level MOSFET</t>
        </is>
      </c>
      <c r="C17" s="37" t="n">
        <v>1</v>
      </c>
      <c r="D17" s="35" t="n">
        <v>1</v>
      </c>
      <c r="E17" s="37">
        <f>C17*D17</f>
        <v/>
      </c>
      <c r="F17" s="38" t="inlineStr">
        <is>
          <t>Switches 12V solenoid from ESP32 3.3V GPIO. Get a few spares.</t>
        </is>
      </c>
      <c r="G17" s="30" t="inlineStr">
        <is>
          <t>Not at MC</t>
        </is>
      </c>
      <c r="H17" s="39" t="inlineStr">
        <is>
          <t>https://www.amazon.com/BOJACK-IRLZ44N-MOSFET-Transistors-IRLZ44NPBF/dp/B09TMP4TLM</t>
        </is>
      </c>
    </row>
    <row r="18" ht="15" customHeight="1" s="28">
      <c r="A18" s="35" t="n">
        <v>10</v>
      </c>
      <c r="B18" s="36" t="inlineStr">
        <is>
          <t>1N4007 flyback diode</t>
        </is>
      </c>
      <c r="C18" s="37" t="n">
        <v>0.1</v>
      </c>
      <c r="D18" s="35" t="n">
        <v>2</v>
      </c>
      <c r="E18" s="37">
        <f>C18*D18</f>
        <v/>
      </c>
      <c r="F18" s="38" t="inlineStr">
        <is>
          <t>Protects MOSFET from solenoid back-EMF. Essential.</t>
        </is>
      </c>
      <c r="G18" s="30" t="inlineStr">
        <is>
          <t>Not at MC</t>
        </is>
      </c>
      <c r="H18" s="39" t="inlineStr">
        <is>
          <t>https://www.amazon.com/MCIGICM-Rectifier-Electronic-Silicon-DO-41/dp/B071YWNBKP</t>
        </is>
      </c>
    </row>
    <row r="19" ht="21.75" customHeight="1" s="28">
      <c r="A19" s="34" t="inlineStr">
        <is>
          <t>💡  LIGHTS</t>
        </is>
      </c>
    </row>
    <row r="20" ht="15" customHeight="1" s="28">
      <c r="A20" s="35" t="n">
        <v>11</v>
      </c>
      <c r="B20" s="36" t="inlineStr">
        <is>
          <t>WS2812B NeoPixel LED strip (1m, 30 LEDs/m)</t>
        </is>
      </c>
      <c r="C20" s="37" t="n">
        <v>5</v>
      </c>
      <c r="D20" s="35" t="n">
        <v>1</v>
      </c>
      <c r="E20" s="37">
        <f>C20*D20</f>
        <v/>
      </c>
      <c r="F20" s="38" t="inlineStr">
        <is>
          <t>Addressable RGB. Cut to length. Status + item position indication.</t>
        </is>
      </c>
      <c r="G20" s="39" t="inlineStr">
        <is>
          <t>https://www.microcenter.com/product/623852/inland-ws8218b-individually-addressable-led-strip-1-meter-60-led-per-meter</t>
        </is>
      </c>
      <c r="H20" s="39" t="inlineStr">
        <is>
          <t>https://www.amazon.com/BTF-LIGHTING-Flexible-Individually-Addressable-Non-waterproof/dp/B01CDTE2CS</t>
        </is>
      </c>
    </row>
    <row r="21" ht="15" customHeight="1" s="28">
      <c r="A21" s="35" t="n">
        <v>12</v>
      </c>
      <c r="B21" s="36" t="inlineStr">
        <is>
          <t>White LEDs (5mm, bright) for interior lighting</t>
        </is>
      </c>
      <c r="C21" s="37" t="n">
        <v>1</v>
      </c>
      <c r="D21" s="35" t="n">
        <v>1</v>
      </c>
      <c r="E21" s="37">
        <f>C21*D21</f>
        <v/>
      </c>
      <c r="F21" s="38" t="inlineStr">
        <is>
          <t>Pack of 10+. Mount inside box for camera illumination. Use with resistors.</t>
        </is>
      </c>
      <c r="G21" s="39" t="inlineStr">
        <is>
          <t>https://www.microcenter.com/product/632687/inland-5mm-5-colors-led-light-emitting-diode-assortment-kit-500-pcs</t>
        </is>
      </c>
      <c r="H21" s="39" t="inlineStr">
        <is>
          <t>https://www.amazon.com/DiCUNO-450pcs-Colors-Emitting-Assorted/dp/B073QMQBMC</t>
        </is>
      </c>
    </row>
    <row r="22" ht="21.75" customHeight="1" s="28">
      <c r="A22" s="34" t="inlineStr">
        <is>
          <t>📡  SENSORS</t>
        </is>
      </c>
    </row>
    <row r="23" ht="15" customHeight="1" s="28">
      <c r="A23" s="35" t="n">
        <v>13</v>
      </c>
      <c r="B23" s="36" t="inlineStr">
        <is>
          <t>HC-SR501 PIR motion sensor</t>
        </is>
      </c>
      <c r="C23" s="37" t="n">
        <v>1.5</v>
      </c>
      <c r="D23" s="35" t="n">
        <v>1</v>
      </c>
      <c r="E23" s="37">
        <f>C23*D23</f>
        <v/>
      </c>
      <c r="F23" s="38" t="inlineStr">
        <is>
          <t>Wake-on-approach trigger. 3.3V digital output. ~65µA draw.</t>
        </is>
      </c>
      <c r="G23" s="39" t="inlineStr">
        <is>
          <t>https://www.microcenter.com/product/618776/inland-pir-motion-sensor-module</t>
        </is>
      </c>
      <c r="H23" s="39" t="inlineStr">
        <is>
          <t>https://www.amazon.com/HiLetgo-HC-SR501-Infrared-Sensor-Arduino/dp/B07KZW86YR</t>
        </is>
      </c>
    </row>
    <row r="24" ht="21.75" customHeight="1" s="28">
      <c r="A24" s="34" t="inlineStr">
        <is>
          <t>🔋  POWER (wall-powered option)</t>
        </is>
      </c>
    </row>
    <row r="25" ht="15" customHeight="1" s="28">
      <c r="A25" s="35" t="n">
        <v>14</v>
      </c>
      <c r="B25" s="36" t="inlineStr">
        <is>
          <t>USB-C 5V/3A power adapter</t>
        </is>
      </c>
      <c r="C25" s="37" t="n">
        <v>8</v>
      </c>
      <c r="D25" s="35" t="n">
        <v>1</v>
      </c>
      <c r="E25" s="37">
        <f>C25*D25</f>
        <v/>
      </c>
      <c r="F25" s="38" t="inlineStr">
        <is>
          <t>Primary power for indoor locations. Reliable, simple.</t>
        </is>
      </c>
      <c r="G25" s="30" t="inlineStr">
        <is>
          <t>Check MC phone accessories aisle</t>
        </is>
      </c>
      <c r="H25" s="39" t="inlineStr">
        <is>
          <t>https://www.amazon.com/Charger-INIU-Adapter-Samsung-iPhone/dp/B0C4FYBR5P</t>
        </is>
      </c>
    </row>
    <row r="26" ht="15" customHeight="1" s="28">
      <c r="A26" s="35" t="n">
        <v>15</v>
      </c>
      <c r="B26" s="36" t="inlineStr">
        <is>
          <t>MT3608 DC-DC boost converter (5V → 12V)</t>
        </is>
      </c>
      <c r="C26" s="37" t="n">
        <v>3</v>
      </c>
      <c r="D26" s="35" t="n">
        <v>1</v>
      </c>
      <c r="E26" s="37">
        <f>C26*D26</f>
        <v/>
      </c>
      <c r="F26" s="38" t="inlineStr">
        <is>
          <t>Steps up to 12V for solenoid. Handles 2A output.</t>
        </is>
      </c>
      <c r="G26" s="30" t="inlineStr">
        <is>
          <t>Not at MC</t>
        </is>
      </c>
      <c r="H26" s="39" t="inlineStr">
        <is>
          <t>https://www.amazon.com/Converter-Adjustable-Step-up-Regulator-Compatible/dp/B089JGXKDC</t>
        </is>
      </c>
    </row>
    <row r="27" ht="15" customHeight="1" s="28">
      <c r="A27" s="35" t="n">
        <v>16</v>
      </c>
      <c r="B27" s="36" t="inlineStr">
        <is>
          <t>1000µF 16V capacitor</t>
        </is>
      </c>
      <c r="C27" s="37" t="n">
        <v>0.5</v>
      </c>
      <c r="D27" s="35" t="n">
        <v>1</v>
      </c>
      <c r="E27" s="37">
        <f>C27*D27</f>
        <v/>
      </c>
      <c r="F27" s="38" t="inlineStr">
        <is>
          <t>Smooths 12V rail during solenoid pulse. Prevents voltage sag.</t>
        </is>
      </c>
      <c r="G27" s="30" t="inlineStr">
        <is>
          <t>Not at MC</t>
        </is>
      </c>
      <c r="H27" s="39" t="inlineStr">
        <is>
          <t>https://www.amazon.com/electrolytic-capacitors-assortment-0-1uF-1000uF/dp/B07ZPSQ5RS</t>
        </is>
      </c>
    </row>
    <row r="28" ht="21.75" customHeight="1" s="28">
      <c r="A28" s="34" t="inlineStr">
        <is>
          <t>☀️  POWER (solar option — for outdoor/off-grid)</t>
        </is>
      </c>
    </row>
    <row r="29" ht="15" customHeight="1" s="28">
      <c r="A29" s="35" t="n">
        <v>17</v>
      </c>
      <c r="B29" s="36" t="inlineStr">
        <is>
          <t>5–10W 6V solar panel</t>
        </is>
      </c>
      <c r="C29" s="37" t="n">
        <v>12</v>
      </c>
      <c r="D29" s="35" t="n">
        <v>1</v>
      </c>
      <c r="E29" s="37">
        <f>C29*D29</f>
        <v/>
      </c>
      <c r="F29" s="38" t="inlineStr">
        <is>
          <t>Small form factor. Enough for ESP32-S3 daily budget (~1.5 Wh/day).</t>
        </is>
      </c>
      <c r="G29" s="30" t="inlineStr">
        <is>
          <t>Not at MC</t>
        </is>
      </c>
      <c r="H29" s="39" t="inlineStr">
        <is>
          <t>https://www.amazon.com/Voltaic-Systems-Small-Solar-Panel/dp/B09QYD4GGJ</t>
        </is>
      </c>
    </row>
    <row r="30" ht="15" customHeight="1" s="28">
      <c r="A30" s="35" t="n">
        <v>18</v>
      </c>
      <c r="B30" s="36" t="inlineStr">
        <is>
          <t>CN3791 solar charge controller board</t>
        </is>
      </c>
      <c r="C30" s="37" t="n">
        <v>5</v>
      </c>
      <c r="D30" s="35" t="n">
        <v>1</v>
      </c>
      <c r="E30" s="37">
        <f>C30*D30</f>
        <v/>
      </c>
      <c r="F30" s="38" t="inlineStr">
        <is>
          <t>MPPT-style. Handles panel → LiPo charging safely.</t>
        </is>
      </c>
      <c r="G30" s="30" t="inlineStr">
        <is>
          <t>Not at MC</t>
        </is>
      </c>
      <c r="H30" s="39" t="inlineStr">
        <is>
          <t>https://www.amazon.com/s?k=CN3791+solar+charge+controller</t>
        </is>
      </c>
    </row>
    <row r="31" ht="15" customHeight="1" s="28">
      <c r="A31" s="35" t="n">
        <v>19</v>
      </c>
      <c r="B31" s="36" t="inlineStr">
        <is>
          <t>3.7V 5000mAh LiPo battery</t>
        </is>
      </c>
      <c r="C31" s="37" t="n">
        <v>12</v>
      </c>
      <c r="D31" s="35" t="n">
        <v>1</v>
      </c>
      <c r="E31" s="37">
        <f>C31*D31</f>
        <v/>
      </c>
      <c r="F31" s="38" t="inlineStr">
        <is>
          <t>~18.5 Wh capacity. Week+ of buffer with no sun.</t>
        </is>
      </c>
      <c r="G31" s="30" t="inlineStr">
        <is>
          <t>Not at MC</t>
        </is>
      </c>
      <c r="H31" s="39" t="inlineStr">
        <is>
          <t>https://www.amazon.com/s?k=3.7v+5000mah+lipo+battery</t>
        </is>
      </c>
    </row>
    <row r="32" ht="21.75" customHeight="1" s="28">
      <c r="A32" s="34" t="inlineStr">
        <is>
          <t>🔌  WIRING &amp; CONNECTORS</t>
        </is>
      </c>
    </row>
    <row r="33" ht="15" customHeight="1" s="28">
      <c r="A33" s="35" t="n">
        <v>20</v>
      </c>
      <c r="B33" s="36" t="inlineStr">
        <is>
          <t>Breadboard (half-size)</t>
        </is>
      </c>
      <c r="C33" s="37" t="n">
        <v>3</v>
      </c>
      <c r="D33" s="35" t="n">
        <v>1</v>
      </c>
      <c r="E33" s="37">
        <f>C33*D33</f>
        <v/>
      </c>
      <c r="F33" s="38" t="inlineStr">
        <is>
          <t>For prototyping. Move to perfboard/PCB later.</t>
        </is>
      </c>
      <c r="G33" s="39" t="inlineStr">
        <is>
          <t>https://www.microcenter.com/product/613878/inland-400-tie-point-solderless-breadboard</t>
        </is>
      </c>
      <c r="H33" s="39" t="inlineStr">
        <is>
          <t>https://www.amazon.com/EL-CP-003-Breadboard-Solderless-Distribution-Connecting/dp/B01EV6LJ7G</t>
        </is>
      </c>
    </row>
    <row r="34" ht="15" customHeight="1" s="28">
      <c r="A34" s="35" t="n">
        <v>21</v>
      </c>
      <c r="B34" s="36" t="inlineStr">
        <is>
          <t>Dupont jumper wires (M-F, M-M, F-F assorted pack)</t>
        </is>
      </c>
      <c r="C34" s="37" t="n">
        <v>4</v>
      </c>
      <c r="D34" s="35" t="n">
        <v>1</v>
      </c>
      <c r="E34" s="37">
        <f>C34*D34</f>
        <v/>
      </c>
      <c r="F34" s="38" t="inlineStr">
        <is>
          <t>40-pin sets. Get at least M-F and F-F.</t>
        </is>
      </c>
      <c r="G34" s="39" t="inlineStr">
        <is>
          <t>https://www.microcenter.com/product/613879/inland-dupont-jumper-wire-20cm-3-pack</t>
        </is>
      </c>
      <c r="H34" s="39" t="inlineStr">
        <is>
          <t>https://www.amazon.com/ELEGOO-Multicolored-Breadboard-Arduino-Projects/dp/B01EV70C78</t>
        </is>
      </c>
    </row>
    <row r="35" ht="15" customHeight="1" s="28">
      <c r="A35" s="35" t="n">
        <v>22</v>
      </c>
      <c r="B35" s="36" t="inlineStr">
        <is>
          <t>JST-PH 2.0mm connectors (assorted)</t>
        </is>
      </c>
      <c r="C35" s="37" t="n">
        <v>3</v>
      </c>
      <c r="D35" s="35" t="n">
        <v>1</v>
      </c>
      <c r="E35" s="37">
        <f>C35*D35</f>
        <v/>
      </c>
      <c r="F35" s="38" t="inlineStr">
        <is>
          <t>For modular plug-and-play connections between modules.</t>
        </is>
      </c>
      <c r="G35" s="30" t="inlineStr">
        <is>
          <t>Not at MC</t>
        </is>
      </c>
      <c r="H35" s="39" t="inlineStr">
        <is>
          <t>https://www.amazon.com/s?k=JST+PH+2.0+connector+kit</t>
        </is>
      </c>
    </row>
    <row r="36" ht="15" customHeight="1" s="28">
      <c r="A36" s="35" t="n">
        <v>23</v>
      </c>
      <c r="B36" s="36" t="inlineStr">
        <is>
          <t>10KΩ resistors (pack)</t>
        </is>
      </c>
      <c r="C36" s="37" t="n">
        <v>1</v>
      </c>
      <c r="D36" s="35" t="n">
        <v>1</v>
      </c>
      <c r="E36" s="37">
        <f>C36*D36</f>
        <v/>
      </c>
      <c r="F36" s="38" t="inlineStr">
        <is>
          <t>Pull-ups/pull-downs. Assorted pack.</t>
        </is>
      </c>
      <c r="G36" s="39" t="inlineStr">
        <is>
          <t>https://www.microcenter.com/product/613883/inland-10k-ohm-1-4-watt-resistors-100-pack</t>
        </is>
      </c>
      <c r="H36" s="39" t="inlineStr">
        <is>
          <t>https://www.amazon.com/EDGELEC-Resistor-Tolerance-Multiple-Resistance/dp/B07QG1V4BH</t>
        </is>
      </c>
    </row>
    <row r="37" ht="15" customHeight="1" s="28">
      <c r="A37" s="35" t="n">
        <v>24</v>
      </c>
      <c r="B37" s="36" t="inlineStr">
        <is>
          <t>220Ω / 330Ω resistors (pack)</t>
        </is>
      </c>
      <c r="C37" s="37" t="n">
        <v>1</v>
      </c>
      <c r="D37" s="35" t="n">
        <v>1</v>
      </c>
      <c r="E37" s="37">
        <f>C37*D37</f>
        <v/>
      </c>
      <c r="F37" s="38" t="inlineStr">
        <is>
          <t>For white LEDs and NeoPixel data line.</t>
        </is>
      </c>
      <c r="G37" s="39" t="inlineStr">
        <is>
          <t>https://www.microcenter.com/product/613882/inland-330-ohm-1-4-watt-resistors-100-pack</t>
        </is>
      </c>
      <c r="H37" s="39" t="inlineStr">
        <is>
          <t>https://www.amazon.com/EDGELEC-Resistor-Tolerance-Multiple-Resistance/dp/B07QJB3LGN</t>
        </is>
      </c>
    </row>
    <row r="38" ht="21.75" customHeight="1" s="28">
      <c r="A38" s="34" t="inlineStr">
        <is>
          <t>🏠  ENCLOSURE &amp; MECHANICAL</t>
        </is>
      </c>
    </row>
    <row r="39" ht="15" customHeight="1" s="28">
      <c r="A39" s="35" t="n">
        <v>25</v>
      </c>
      <c r="B39" s="36" t="inlineStr">
        <is>
          <t>Plywood / wood panels (for box)</t>
        </is>
      </c>
      <c r="C39" s="37" t="n">
        <v>10</v>
      </c>
      <c r="D39" s="35" t="n">
        <v>1</v>
      </c>
      <c r="E39" s="37">
        <f>C39*D39</f>
        <v/>
      </c>
      <c r="F39" s="38" t="inlineStr">
        <is>
          <t>Or scavenge. ~12"x12"x12" interior space target.</t>
        </is>
      </c>
      <c r="G39" s="30" t="inlineStr">
        <is>
          <t>Home Depot / hardware store</t>
        </is>
      </c>
      <c r="H39" s="30" t="inlineStr">
        <is>
          <t>Plywood craft panels</t>
        </is>
      </c>
    </row>
    <row r="40" ht="15" customHeight="1" s="28">
      <c r="A40" s="35" t="n">
        <v>26</v>
      </c>
      <c r="B40" s="36" t="inlineStr">
        <is>
          <t>Spring hinges (small, for door)</t>
        </is>
      </c>
      <c r="C40" s="37" t="n">
        <v>4</v>
      </c>
      <c r="D40" s="35" t="n">
        <v>1</v>
      </c>
      <c r="E40" s="37">
        <f>C40*D40</f>
        <v/>
      </c>
      <c r="F40" s="38" t="inlineStr">
        <is>
          <t>Spring-loaded door pop-open after solenoid unlocks.</t>
        </is>
      </c>
      <c r="G40" s="30" t="inlineStr">
        <is>
          <t>Hardware store</t>
        </is>
      </c>
      <c r="H40" s="39" t="inlineStr">
        <is>
          <t>https://www.amazon.com/s?k=spring+hinge+small+cabinet</t>
        </is>
      </c>
    </row>
    <row r="41" ht="15" customHeight="1" s="28">
      <c r="A41" s="35" t="n">
        <v>27</v>
      </c>
      <c r="B41" s="36" t="inlineStr">
        <is>
          <t>3D printing filament (PETG, for custom parts)</t>
        </is>
      </c>
      <c r="C41" s="37" t="n">
        <v>8</v>
      </c>
      <c r="D41" s="35" t="n">
        <v>1</v>
      </c>
      <c r="E41" s="37">
        <f>C41*D41</f>
        <v/>
      </c>
      <c r="F41" s="38" t="inlineStr">
        <is>
          <t>PETG for weather resistance. Mounts, brackets, camera housing.</t>
        </is>
      </c>
      <c r="G41" s="39" t="inlineStr">
        <is>
          <t>https://www.microcenter.com/search/search_results.aspx?Ntk=all&amp;sortby=match&amp;N=4294824016</t>
        </is>
      </c>
      <c r="H41" s="39" t="inlineStr">
        <is>
          <t>https://www.amazon.com/s?k=PETG+filament+1.75mm</t>
        </is>
      </c>
    </row>
    <row r="42" ht="15" customHeight="1" s="28">
      <c r="A42" s="35" t="n">
        <v>28</v>
      </c>
      <c r="B42" s="36" t="inlineStr">
        <is>
          <t>Wood screws, bolts, standoffs (assorted)</t>
        </is>
      </c>
      <c r="C42" s="37" t="n">
        <v>4</v>
      </c>
      <c r="D42" s="35" t="n">
        <v>1</v>
      </c>
      <c r="E42" s="37">
        <f>C42*D42</f>
        <v/>
      </c>
      <c r="F42" s="38" t="inlineStr">
        <is>
          <t>M3 standoffs for mounting PCBs. Wood screws for enclosure.</t>
        </is>
      </c>
      <c r="G42" s="39" t="inlineStr">
        <is>
          <t>https://www.microcenter.com/product/623879/inland-bolt-set-330-pieces</t>
        </is>
      </c>
      <c r="H42" s="39" t="inlineStr">
        <is>
          <t>https://www.amazon.com/s?k=M3+standoff+kit+assortment</t>
        </is>
      </c>
    </row>
    <row r="43" ht="15" customHeight="1" s="28">
      <c r="A43" s="35" t="n">
        <v>29</v>
      </c>
      <c r="B43" s="36" t="inlineStr">
        <is>
          <t>Rubber gasket / weather stripping (if outdoor)</t>
        </is>
      </c>
      <c r="C43" s="37" t="n">
        <v>3</v>
      </c>
      <c r="D43" s="35" t="n">
        <v>1</v>
      </c>
      <c r="E43" s="37">
        <f>C43*D43</f>
        <v/>
      </c>
      <c r="F43" s="38" t="inlineStr">
        <is>
          <t>Seal door edges. Marine polyurethane for wood finish.</t>
        </is>
      </c>
      <c r="G43" s="30" t="inlineStr">
        <is>
          <t>Hardware store</t>
        </is>
      </c>
      <c r="H43" s="39" t="inlineStr">
        <is>
          <t>https://www.amazon.com/s?k=rubber+gasket+weather+stripping+cabinet</t>
        </is>
      </c>
    </row>
    <row r="45" ht="15" customHeight="1" s="28">
      <c r="A45" s="40" t="inlineStr">
        <is>
          <t>TOTAL (all items, wall + solar)</t>
        </is>
      </c>
      <c r="E45" s="41">
        <f>SUM(E5:E44)</f>
        <v/>
      </c>
      <c r="F45" s="42" t="n"/>
    </row>
    <row r="46" ht="15" customHeight="1" s="28">
      <c r="A46" s="43" t="inlineStr">
        <is>
          <t>TOTAL (wall-powered only, no solar components)</t>
        </is>
      </c>
      <c r="E46" s="44">
        <f>E45-E33-E34-E35</f>
        <v/>
      </c>
      <c r="F46" s="30" t="inlineStr">
        <is>
          <t>Excludes solar panel, charge controller, and LiPo battery</t>
        </is>
      </c>
    </row>
    <row r="48" ht="15" customHeight="1" s="28">
      <c r="A48" s="45" t="inlineStr">
        <is>
          <t>Micro Center Cambridge: 730 Memorial Dr, Cambridge, MA 02139  |  'BUY HERE' = best to grab at MC (in stock, good price)</t>
        </is>
      </c>
    </row>
    <row r="49" ht="15" customHeight="1" s="28">
      <c r="A49" s="30" t="inlineStr">
        <is>
          <t>Specialty parts (ESP32-S3-CAM, mics, solenoid, MOSFET, boost converter, solar) are Amazon-only. Grab basics (breadboard, wires, LEDs, resistors, PIR, bolts) at MC same-day.</t>
        </is>
      </c>
    </row>
  </sheetData>
  <mergeCells count="16">
    <mergeCell ref="A45:D45"/>
    <mergeCell ref="A2:F2"/>
    <mergeCell ref="A48:H48"/>
    <mergeCell ref="A15:H15"/>
    <mergeCell ref="A7:H7"/>
    <mergeCell ref="A24:H24"/>
    <mergeCell ref="A1:F1"/>
    <mergeCell ref="A38:H38"/>
    <mergeCell ref="A10:H10"/>
    <mergeCell ref="A28:H28"/>
    <mergeCell ref="A19:H19"/>
    <mergeCell ref="A49:H49"/>
    <mergeCell ref="A5:H5"/>
    <mergeCell ref="A32:H32"/>
    <mergeCell ref="A46:D46"/>
    <mergeCell ref="A22:H22"/>
  </mergeCells>
  <hyperlinks>
    <hyperlink xmlns:r="http://schemas.openxmlformats.org/officeDocument/2006/relationships" ref="G6" r:id="rId1"/>
    <hyperlink xmlns:r="http://schemas.openxmlformats.org/officeDocument/2006/relationships" ref="H6" r:id="rId2"/>
    <hyperlink xmlns:r="http://schemas.openxmlformats.org/officeDocument/2006/relationships" ref="H9" r:id="rId3"/>
    <hyperlink xmlns:r="http://schemas.openxmlformats.org/officeDocument/2006/relationships" ref="G11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G13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G20" r:id="rId13"/>
    <hyperlink xmlns:r="http://schemas.openxmlformats.org/officeDocument/2006/relationships" ref="H20" r:id="rId14"/>
    <hyperlink xmlns:r="http://schemas.openxmlformats.org/officeDocument/2006/relationships" ref="G21" r:id="rId15"/>
    <hyperlink xmlns:r="http://schemas.openxmlformats.org/officeDocument/2006/relationships" ref="H21" r:id="rId16"/>
    <hyperlink xmlns:r="http://schemas.openxmlformats.org/officeDocument/2006/relationships" ref="G23" r:id="rId17"/>
    <hyperlink xmlns:r="http://schemas.openxmlformats.org/officeDocument/2006/relationships" ref="H23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G33" r:id="rId25"/>
    <hyperlink xmlns:r="http://schemas.openxmlformats.org/officeDocument/2006/relationships" ref="H33" r:id="rId26"/>
    <hyperlink xmlns:r="http://schemas.openxmlformats.org/officeDocument/2006/relationships" ref="G34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G36" r:id="rId30"/>
    <hyperlink xmlns:r="http://schemas.openxmlformats.org/officeDocument/2006/relationships" ref="H36" r:id="rId31"/>
    <hyperlink xmlns:r="http://schemas.openxmlformats.org/officeDocument/2006/relationships" ref="G37" r:id="rId32"/>
    <hyperlink xmlns:r="http://schemas.openxmlformats.org/officeDocument/2006/relationships" ref="H37" r:id="rId33"/>
    <hyperlink xmlns:r="http://schemas.openxmlformats.org/officeDocument/2006/relationships" ref="H40" r:id="rId34"/>
    <hyperlink xmlns:r="http://schemas.openxmlformats.org/officeDocument/2006/relationships" ref="G41" r:id="rId35"/>
    <hyperlink xmlns:r="http://schemas.openxmlformats.org/officeDocument/2006/relationships" ref="H41" r:id="rId36"/>
    <hyperlink xmlns:r="http://schemas.openxmlformats.org/officeDocument/2006/relationships" ref="G42" r:id="rId37"/>
    <hyperlink xmlns:r="http://schemas.openxmlformats.org/officeDocument/2006/relationships" ref="H42" r:id="rId38"/>
    <hyperlink xmlns:r="http://schemas.openxmlformats.org/officeDocument/2006/relationships" ref="H43" r:id="rId3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15" customWidth="1" style="27" min="2" max="2"/>
  </cols>
  <sheetData>
    <row r="1" ht="15.75" customHeight="1" s="28">
      <c r="A1" s="46" t="inlineStr">
        <is>
          <t>Deployment Cost Estimate</t>
        </is>
      </c>
    </row>
    <row r="3" ht="15" customHeight="1" s="28">
      <c r="A3" s="45" t="inlineStr">
        <is>
          <t>Cost per unit (wall-powered)</t>
        </is>
      </c>
      <c r="B3" s="47">
        <f>'Shopping List'!E46</f>
        <v/>
      </c>
    </row>
    <row r="4" ht="15" customHeight="1" s="28">
      <c r="A4" s="45" t="inlineStr">
        <is>
          <t>Cost per unit (with solar)</t>
        </is>
      </c>
      <c r="B4" s="47">
        <f>'Shopping List'!E45</f>
        <v/>
      </c>
    </row>
    <row r="6" ht="15" customHeight="1" s="28">
      <c r="A6" s="48" t="inlineStr">
        <is>
          <t>4 units, wall-powered</t>
        </is>
      </c>
      <c r="B6" s="49">
        <f>B3*4</f>
        <v/>
      </c>
    </row>
    <row r="7" ht="15" customHeight="1" s="28">
      <c r="A7" s="48" t="inlineStr">
        <is>
          <t>4 units, all solar</t>
        </is>
      </c>
      <c r="B7" s="49">
        <f>B4*4</f>
        <v/>
      </c>
    </row>
    <row r="9" ht="15" customHeight="1" s="28">
      <c r="A9" s="30" t="inlineStr">
        <is>
          <t>Note: Prices are approximate. Buy spares of MOSFETs, diodes, resistors.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2026-03-10T19:13:10Z</dcterms:created>
  <dcterms:modified xmlns:dcterms="http://purl.org/dc/terms/" xmlns:xsi="http://www.w3.org/2001/XMLSchema-instance" xsi:type="dcterms:W3CDTF">2026-03-10T19:27:41Z</dcterms:modified>
  <cp:revision>0</cp:revision>
</cp:coreProperties>
</file>